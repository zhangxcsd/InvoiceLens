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ythonCode\InvoiceParser\database\"/>
    </mc:Choice>
  </mc:AlternateContent>
  <xr:revisionPtr revIDLastSave="0" documentId="13_ncr:1_{9586CA13-A8C9-48E7-9498-E7D8F6D995D5}" xr6:coauthVersionLast="47" xr6:coauthVersionMax="47" xr10:uidLastSave="{00000000-0000-0000-0000-000000000000}"/>
  <bookViews>
    <workbookView xWindow="1080" yWindow="3984" windowWidth="23040" windowHeight="118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I3" i="1"/>
  <c r="H4" i="1"/>
  <c r="H5" i="1"/>
  <c r="H6" i="1"/>
  <c r="H7" i="1"/>
  <c r="H8" i="1"/>
  <c r="H9" i="1"/>
  <c r="H10" i="1"/>
  <c r="H11" i="1"/>
  <c r="H12" i="1"/>
  <c r="H13" i="1"/>
</calcChain>
</file>

<file path=xl/sharedStrings.xml><?xml version="1.0" encoding="utf-8"?>
<sst xmlns="http://schemas.openxmlformats.org/spreadsheetml/2006/main" count="22" uniqueCount="10">
  <si>
    <t>年度</t>
    <phoneticPr fontId="1" type="noConversion"/>
  </si>
  <si>
    <t>天诚</t>
    <phoneticPr fontId="1" type="noConversion"/>
  </si>
  <si>
    <t>进项发票</t>
    <phoneticPr fontId="1" type="noConversion"/>
  </si>
  <si>
    <t>销项发票</t>
    <phoneticPr fontId="1" type="noConversion"/>
  </si>
  <si>
    <t>主表</t>
    <phoneticPr fontId="1" type="noConversion"/>
  </si>
  <si>
    <t>明细表</t>
    <phoneticPr fontId="1" type="noConversion"/>
  </si>
  <si>
    <t>天诚健康体检中心</t>
    <phoneticPr fontId="1" type="noConversion"/>
  </si>
  <si>
    <t>小计</t>
    <phoneticPr fontId="1" type="noConversion"/>
  </si>
  <si>
    <t>91371400MA7E9L9W87</t>
    <phoneticPr fontId="1" type="noConversion"/>
  </si>
  <si>
    <t>91371400MA949RUW2H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</si>
</sst>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129540</xdr:colOff>
      <xdr:row>4</xdr:row>
      <xdr:rowOff>83820</xdr:rowOff>
    </xdr:from>
    <xdr:to>
      <xdr:col>16</xdr:col>
      <xdr:colOff>220980</xdr:colOff>
      <xdr:row>16</xdr:row>
      <xdr:rowOff>99060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B4F3282C-0710-0451-CF0B-B6151F3953EB}"/>
            </a:ext>
          </a:extLst>
        </xdr:cNvPr>
        <xdr:cNvSpPr txBox="1"/>
      </xdr:nvSpPr>
      <xdr:spPr>
        <a:xfrm>
          <a:off x="8061960" y="784860"/>
          <a:ext cx="3749040" cy="2118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数电票：</a:t>
          </a:r>
          <a:r>
            <a:rPr lang="en-US" altLang="zh-CN" sz="1100"/>
            <a:t>24372000000021158449</a:t>
          </a:r>
          <a:r>
            <a:rPr lang="zh-CN" altLang="en-US" sz="1100"/>
            <a:t>，</a:t>
          </a:r>
          <a:r>
            <a:rPr lang="en-US" altLang="zh-CN" sz="1100"/>
            <a:t>2024</a:t>
          </a:r>
          <a:r>
            <a:rPr lang="zh-CN" altLang="en-US" sz="1100"/>
            <a:t>年</a:t>
          </a:r>
          <a:r>
            <a:rPr lang="en-US" altLang="zh-CN" sz="1100"/>
            <a:t>3</a:t>
          </a:r>
          <a:r>
            <a:rPr lang="zh-CN" altLang="en-US" sz="1100"/>
            <a:t>月。</a:t>
          </a:r>
          <a:br>
            <a:rPr lang="en-US" altLang="zh-CN" sz="1100"/>
          </a:br>
          <a:r>
            <a:rPr lang="zh-CN" altLang="en-US" sz="1100"/>
            <a:t>天诚和体检中心的一个内部交易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tabSelected="1" workbookViewId="0">
      <selection activeCell="J16" sqref="J16"/>
    </sheetView>
  </sheetViews>
  <sheetFormatPr defaultRowHeight="13.8" x14ac:dyDescent="0.25"/>
  <cols>
    <col min="2" max="3" width="11.5546875" style="1" customWidth="1"/>
    <col min="4" max="4" width="12.6640625" customWidth="1"/>
    <col min="5" max="5" width="14.44140625" customWidth="1"/>
    <col min="6" max="6" width="13.88671875" customWidth="1"/>
    <col min="7" max="7" width="15.44140625" customWidth="1"/>
    <col min="8" max="8" width="9.44140625" bestFit="1" customWidth="1"/>
  </cols>
  <sheetData>
    <row r="1" spans="2:10" x14ac:dyDescent="0.25">
      <c r="D1" s="3" t="s">
        <v>9</v>
      </c>
      <c r="E1" s="3"/>
      <c r="F1" s="3" t="s">
        <v>8</v>
      </c>
      <c r="G1" s="3"/>
    </row>
    <row r="2" spans="2:10" x14ac:dyDescent="0.25">
      <c r="B2" s="4"/>
      <c r="C2" s="4"/>
      <c r="D2" s="2" t="s">
        <v>1</v>
      </c>
      <c r="E2" s="2"/>
      <c r="F2" s="2" t="s">
        <v>6</v>
      </c>
      <c r="G2" s="2"/>
      <c r="H2" s="6" t="s">
        <v>7</v>
      </c>
      <c r="I2" t="s">
        <v>4</v>
      </c>
      <c r="J2" t="s">
        <v>5</v>
      </c>
    </row>
    <row r="3" spans="2:10" s="1" customFormat="1" x14ac:dyDescent="0.25">
      <c r="B3" s="4" t="s">
        <v>0</v>
      </c>
      <c r="C3" s="4"/>
      <c r="D3" s="4" t="s">
        <v>2</v>
      </c>
      <c r="E3" s="4" t="s">
        <v>3</v>
      </c>
      <c r="F3" s="4" t="s">
        <v>2</v>
      </c>
      <c r="G3" s="4" t="s">
        <v>3</v>
      </c>
      <c r="H3" s="4"/>
      <c r="I3" s="1">
        <f>H4+H6+H8+H10+H12</f>
        <v>5044</v>
      </c>
      <c r="J3" s="1">
        <f>H5+H7+H9+H11+H13</f>
        <v>7101</v>
      </c>
    </row>
    <row r="4" spans="2:10" x14ac:dyDescent="0.25">
      <c r="B4" s="5">
        <v>2021</v>
      </c>
      <c r="C4" s="4" t="s">
        <v>4</v>
      </c>
      <c r="D4" s="4">
        <v>35</v>
      </c>
      <c r="E4" s="4">
        <v>139</v>
      </c>
      <c r="F4" s="6">
        <v>0</v>
      </c>
      <c r="G4" s="4">
        <v>0</v>
      </c>
      <c r="H4" s="7">
        <f>SUM(D4:G4)</f>
        <v>174</v>
      </c>
    </row>
    <row r="5" spans="2:10" x14ac:dyDescent="0.25">
      <c r="B5" s="5"/>
      <c r="C5" s="4" t="s">
        <v>5</v>
      </c>
      <c r="D5" s="4">
        <v>42</v>
      </c>
      <c r="E5" s="4">
        <v>139</v>
      </c>
      <c r="F5" s="6">
        <v>0</v>
      </c>
      <c r="G5" s="4">
        <v>0</v>
      </c>
      <c r="H5" s="7">
        <f t="shared" ref="H5:H13" si="0">SUM(D5:G5)</f>
        <v>181</v>
      </c>
    </row>
    <row r="6" spans="2:10" x14ac:dyDescent="0.25">
      <c r="B6" s="5">
        <v>2022</v>
      </c>
      <c r="C6" s="4" t="s">
        <v>4</v>
      </c>
      <c r="D6" s="4">
        <v>75</v>
      </c>
      <c r="E6" s="4">
        <v>49</v>
      </c>
      <c r="F6" s="4">
        <v>173</v>
      </c>
      <c r="G6" s="4">
        <v>472</v>
      </c>
      <c r="H6" s="7">
        <f t="shared" si="0"/>
        <v>769</v>
      </c>
    </row>
    <row r="7" spans="2:10" x14ac:dyDescent="0.25">
      <c r="B7" s="5"/>
      <c r="C7" s="4" t="s">
        <v>5</v>
      </c>
      <c r="D7" s="4">
        <v>249</v>
      </c>
      <c r="E7" s="4">
        <v>49</v>
      </c>
      <c r="F7" s="4">
        <v>313</v>
      </c>
      <c r="G7" s="4">
        <v>486</v>
      </c>
      <c r="H7" s="7">
        <f t="shared" si="0"/>
        <v>1097</v>
      </c>
    </row>
    <row r="8" spans="2:10" x14ac:dyDescent="0.25">
      <c r="B8" s="5">
        <v>2023</v>
      </c>
      <c r="C8" s="4" t="s">
        <v>4</v>
      </c>
      <c r="D8" s="4">
        <v>34</v>
      </c>
      <c r="E8" s="4">
        <v>4</v>
      </c>
      <c r="F8" s="4">
        <v>515</v>
      </c>
      <c r="G8" s="4">
        <v>808</v>
      </c>
      <c r="H8" s="7">
        <f t="shared" si="0"/>
        <v>1361</v>
      </c>
    </row>
    <row r="9" spans="2:10" x14ac:dyDescent="0.25">
      <c r="B9" s="5"/>
      <c r="C9" s="4" t="s">
        <v>5</v>
      </c>
      <c r="D9" s="4">
        <v>54</v>
      </c>
      <c r="E9" s="4">
        <v>4</v>
      </c>
      <c r="F9" s="4">
        <v>731</v>
      </c>
      <c r="G9" s="4">
        <v>851</v>
      </c>
      <c r="H9" s="7">
        <f t="shared" si="0"/>
        <v>1640</v>
      </c>
    </row>
    <row r="10" spans="2:10" x14ac:dyDescent="0.25">
      <c r="B10" s="5">
        <v>2024</v>
      </c>
      <c r="C10" s="4" t="s">
        <v>4</v>
      </c>
      <c r="D10" s="4">
        <v>410</v>
      </c>
      <c r="E10" s="4">
        <v>306</v>
      </c>
      <c r="F10" s="4">
        <v>575</v>
      </c>
      <c r="G10" s="4">
        <v>660</v>
      </c>
      <c r="H10" s="7">
        <f t="shared" si="0"/>
        <v>1951</v>
      </c>
    </row>
    <row r="11" spans="2:10" x14ac:dyDescent="0.25">
      <c r="B11" s="5"/>
      <c r="C11" s="4" t="s">
        <v>5</v>
      </c>
      <c r="D11" s="4">
        <v>1008</v>
      </c>
      <c r="E11" s="4">
        <v>329</v>
      </c>
      <c r="F11" s="4">
        <v>908</v>
      </c>
      <c r="G11" s="4">
        <v>670</v>
      </c>
      <c r="H11" s="7">
        <f t="shared" si="0"/>
        <v>2915</v>
      </c>
    </row>
    <row r="12" spans="2:10" x14ac:dyDescent="0.25">
      <c r="B12" s="5">
        <v>2025</v>
      </c>
      <c r="C12" s="4" t="s">
        <v>4</v>
      </c>
      <c r="D12" s="4">
        <v>436</v>
      </c>
      <c r="E12" s="4">
        <v>215</v>
      </c>
      <c r="F12" s="4">
        <v>109</v>
      </c>
      <c r="G12" s="4">
        <v>29</v>
      </c>
      <c r="H12" s="7">
        <f t="shared" si="0"/>
        <v>789</v>
      </c>
    </row>
    <row r="13" spans="2:10" x14ac:dyDescent="0.25">
      <c r="B13" s="5"/>
      <c r="C13" s="4" t="s">
        <v>5</v>
      </c>
      <c r="D13" s="4">
        <v>778</v>
      </c>
      <c r="E13" s="4">
        <v>227</v>
      </c>
      <c r="F13" s="4">
        <v>234</v>
      </c>
      <c r="G13" s="4">
        <v>29</v>
      </c>
      <c r="H13" s="7">
        <f t="shared" si="0"/>
        <v>1268</v>
      </c>
    </row>
    <row r="14" spans="2:10" x14ac:dyDescent="0.25">
      <c r="H14" s="8"/>
    </row>
  </sheetData>
  <mergeCells count="9">
    <mergeCell ref="B12:B13"/>
    <mergeCell ref="F1:G1"/>
    <mergeCell ref="D1:E1"/>
    <mergeCell ref="D2:E2"/>
    <mergeCell ref="F2:G2"/>
    <mergeCell ref="B4:B5"/>
    <mergeCell ref="B6:B7"/>
    <mergeCell ref="B8:B9"/>
    <mergeCell ref="B10:B1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张学超</dc:creator>
  <cp:lastModifiedBy>学超 张</cp:lastModifiedBy>
  <dcterms:created xsi:type="dcterms:W3CDTF">2015-06-05T18:19:34Z</dcterms:created>
  <dcterms:modified xsi:type="dcterms:W3CDTF">2026-03-14T15:43:29Z</dcterms:modified>
</cp:coreProperties>
</file>